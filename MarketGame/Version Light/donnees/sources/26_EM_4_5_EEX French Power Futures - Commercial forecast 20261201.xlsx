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pfedu-my.sharepoint.com/personal/sebastien_donio_epf_fr/Documents/EPF/01_FORMATION MEE BEE/03.2_MEE 5A/MEE5_2026_2027/UE1.3 - MARCHES DE L'ENERGIE/SESSION 5/"/>
    </mc:Choice>
  </mc:AlternateContent>
  <xr:revisionPtr revIDLastSave="600" documentId="13_ncr:1_{3919DA4B-6100-475F-B259-48ABFEBA453B}" xr6:coauthVersionLast="47" xr6:coauthVersionMax="47" xr10:uidLastSave="{5A538319-E763-49A6-8D33-A6E52261AD5E}"/>
  <bookViews>
    <workbookView xWindow="-38510" yWindow="4690" windowWidth="19420" windowHeight="10300" activeTab="1" xr2:uid="{96AF04A9-7CF9-4721-A057-7E68F18DE574}"/>
  </bookViews>
  <sheets>
    <sheet name="Settlement Prices 011226" sheetId="6" r:id="rId1"/>
    <sheet name="Commercial forecast 011226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7" l="1"/>
  <c r="B7" i="7"/>
  <c r="C6" i="7"/>
  <c r="C5" i="7"/>
</calcChain>
</file>

<file path=xl/sharedStrings.xml><?xml version="1.0" encoding="utf-8"?>
<sst xmlns="http://schemas.openxmlformats.org/spreadsheetml/2006/main" count="38" uniqueCount="38">
  <si>
    <t>Settlement Prices</t>
  </si>
  <si>
    <t>Product</t>
  </si>
  <si>
    <t>Delivery period</t>
  </si>
  <si>
    <t>Base 01/12</t>
  </si>
  <si>
    <t>Peak 01/12</t>
  </si>
  <si>
    <t>Base 22/09</t>
  </si>
  <si>
    <t>Peak 22/09</t>
  </si>
  <si>
    <t>Cal-27</t>
  </si>
  <si>
    <t>01/01/2027 - 31/12/2027</t>
  </si>
  <si>
    <t>Q1-27</t>
  </si>
  <si>
    <t>01/01/2027 - 31/03/2027</t>
  </si>
  <si>
    <t>Q2-27</t>
  </si>
  <si>
    <t>01/04/2027 - 30/06/2027</t>
  </si>
  <si>
    <t>Q3-27</t>
  </si>
  <si>
    <t>01/07/2027 - 30/09/2027</t>
  </si>
  <si>
    <t>Q4-27</t>
  </si>
  <si>
    <t>01/10/2027 - 31/12/2027</t>
  </si>
  <si>
    <t>January 2027</t>
  </si>
  <si>
    <t>Feb-27</t>
  </si>
  <si>
    <t>February 2027</t>
  </si>
  <si>
    <t>March 2027</t>
  </si>
  <si>
    <t>Apr-27</t>
  </si>
  <si>
    <t>April 2027</t>
  </si>
  <si>
    <t>May-27</t>
  </si>
  <si>
    <t>May 2027</t>
  </si>
  <si>
    <t>June 2027</t>
  </si>
  <si>
    <t>Jan-27</t>
  </si>
  <si>
    <t>Mar-27</t>
  </si>
  <si>
    <t>Jun-27</t>
  </si>
  <si>
    <t>Profile</t>
  </si>
  <si>
    <t>Customers forecast at T1</t>
  </si>
  <si>
    <t>Customers forecast at T2</t>
  </si>
  <si>
    <t>Change</t>
  </si>
  <si>
    <t>RES1 (Base)</t>
  </si>
  <si>
    <t>Total</t>
  </si>
  <si>
    <t>Commercial forecast on 01 December 2026</t>
  </si>
  <si>
    <t>Issued by the sales team on 1 December 2026. It replaces the forecast you used at T1.</t>
  </si>
  <si>
    <t>PRO1 (BASE)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</si>
</sst>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0"/>
      <color theme="1"/>
      <name val="Montserrat"/>
    </font>
    <font>
      <b/>
      <sz val="10"/>
      <color rgb="FFFFFFFF"/>
      <name val="Montserrat"/>
    </font>
    <font>
      <sz val="10"/>
      <color theme="1"/>
      <name val="Montserrat"/>
    </font>
    <font>
      <b/>
      <sz val="14"/>
      <color theme="1"/>
      <name val="Montserrat"/>
    </font>
    <font>
      <sz val="9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/>
      <right style="medium">
        <color rgb="FFCCCCCC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3" fillId="3" borderId="3" xfId="0" applyFont="1" applyFill="1" applyBorder="1" applyAlignment="1">
      <alignment horizontal="right"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3" xfId="0" applyFont="1" applyBorder="1" applyAlignment="1">
      <alignment horizontal="right" wrapText="1"/>
    </xf>
    <xf numFmtId="49" fontId="5" fillId="0" borderId="2" xfId="1" applyNumberFormat="1" applyFont="1" applyBorder="1" applyAlignment="1">
      <alignment horizontal="left" wrapText="1"/>
    </xf>
    <xf numFmtId="14" fontId="5" fillId="0" borderId="2" xfId="0" applyNumberFormat="1" applyFont="1" applyBorder="1" applyAlignment="1">
      <alignment wrapText="1"/>
    </xf>
    <xf numFmtId="17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6" fillId="0" borderId="7" xfId="0" applyFont="1" applyBorder="1" applyAlignment="1">
      <alignment horizontal="left"/>
    </xf>
    <xf numFmtId="0" fontId="2" fillId="0" borderId="7" xfId="0" applyFont="1" applyBorder="1" applyAlignment="1">
      <alignment wrapText="1"/>
    </xf>
    <xf numFmtId="0" fontId="7" fillId="0" borderId="7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5" fillId="0" borderId="3" xfId="0" applyFont="1" applyBorder="1" applyAlignment="1">
      <alignment horizontal="center" wrapText="1"/>
    </xf>
    <xf numFmtId="10" fontId="5" fillId="0" borderId="3" xfId="0" applyNumberFormat="1" applyFont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10" fontId="3" fillId="3" borderId="3" xfId="0" applyNumberFormat="1" applyFont="1" applyFill="1" applyBorder="1" applyAlignment="1">
      <alignment horizont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57604</xdr:rowOff>
    </xdr:to>
    <xdr:sp macro="" textlink="">
      <xdr:nvSpPr>
        <xdr:cNvPr id="2" name="AutoShape 1" descr="eex">
          <a:extLst>
            <a:ext uri="{FF2B5EF4-FFF2-40B4-BE49-F238E27FC236}">
              <a16:creationId xmlns:a16="http://schemas.microsoft.com/office/drawing/2014/main" id="{1A041856-7784-4810-A6A7-AD03571EF6B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1044575</xdr:colOff>
      <xdr:row>1</xdr:row>
      <xdr:rowOff>190954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F88395A-9AF6-469C-9AED-2D055C2FB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350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54428</xdr:rowOff>
    </xdr:from>
    <xdr:to>
      <xdr:col>11</xdr:col>
      <xdr:colOff>362856</xdr:colOff>
      <xdr:row>5</xdr:row>
      <xdr:rowOff>118836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A8C8457-63F5-48EA-B7C1-6B870135E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6878"/>
          <a:ext cx="10115550" cy="565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57604</xdr:rowOff>
    </xdr:to>
    <xdr:sp macro="" textlink="">
      <xdr:nvSpPr>
        <xdr:cNvPr id="5" name="AutoShape 1" descr="eex">
          <a:extLst>
            <a:ext uri="{FF2B5EF4-FFF2-40B4-BE49-F238E27FC236}">
              <a16:creationId xmlns:a16="http://schemas.microsoft.com/office/drawing/2014/main" id="{3B96AB11-A209-4D55-B704-B4306A9F9A5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1044575</xdr:colOff>
      <xdr:row>1</xdr:row>
      <xdr:rowOff>190954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CF2383B1-662B-4346-903A-62D1432E5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350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EFF77-63DE-4E11-A11D-EE75D388A3FA}">
  <dimension ref="A2:F24"/>
  <sheetViews>
    <sheetView topLeftCell="A12" zoomScale="70" zoomScaleNormal="70" workbookViewId="0">
      <selection activeCell="I12" sqref="I12"/>
    </sheetView>
  </sheetViews>
  <sheetFormatPr baseColWidth="10" defaultRowHeight="20.25" x14ac:dyDescent="0.5"/>
  <cols>
    <col min="1" max="1" width="21.42578125" style="1" bestFit="1" customWidth="1"/>
    <col min="2" max="2" width="20.140625" style="1" customWidth="1"/>
    <col min="3" max="3" width="12" style="1" bestFit="1" customWidth="1"/>
    <col min="4" max="4" width="11.5703125" style="1" bestFit="1" customWidth="1"/>
    <col min="5" max="5" width="11.42578125" style="1" bestFit="1" customWidth="1"/>
    <col min="6" max="6" width="11.5703125" style="1" bestFit="1" customWidth="1"/>
    <col min="7" max="16384" width="11.42578125" style="1"/>
  </cols>
  <sheetData>
    <row r="2" spans="1:6" x14ac:dyDescent="0.5">
      <c r="B2" s="2"/>
      <c r="C2" s="2">
        <v>45992</v>
      </c>
    </row>
    <row r="7" spans="1:6" ht="21" thickBot="1" x14ac:dyDescent="0.55000000000000004"/>
    <row r="8" spans="1:6" ht="27" customHeight="1" thickBot="1" x14ac:dyDescent="0.55000000000000004">
      <c r="A8" s="3" t="s">
        <v>0</v>
      </c>
      <c r="B8" s="4"/>
      <c r="C8" s="4"/>
      <c r="D8" s="4"/>
      <c r="E8" s="4"/>
      <c r="F8" s="5"/>
    </row>
    <row r="9" spans="1:6" ht="33.75" thickBot="1" x14ac:dyDescent="0.55000000000000004">
      <c r="A9" s="6" t="s">
        <v>1</v>
      </c>
      <c r="B9" s="7" t="s">
        <v>2</v>
      </c>
      <c r="C9" s="7" t="s">
        <v>3</v>
      </c>
      <c r="D9" s="7" t="s">
        <v>4</v>
      </c>
      <c r="E9" s="7" t="s">
        <v>5</v>
      </c>
      <c r="F9" s="7" t="s">
        <v>6</v>
      </c>
    </row>
    <row r="10" spans="1:6" ht="35.25" thickBot="1" x14ac:dyDescent="0.55000000000000004">
      <c r="A10" s="8" t="s">
        <v>7</v>
      </c>
      <c r="B10" s="9" t="s">
        <v>8</v>
      </c>
      <c r="C10" s="10">
        <v>73.7</v>
      </c>
      <c r="D10" s="10">
        <v>83.74</v>
      </c>
      <c r="E10" s="10">
        <v>83.31</v>
      </c>
      <c r="F10" s="10">
        <v>95.59</v>
      </c>
    </row>
    <row r="11" spans="1:6" ht="35.25" thickBot="1" x14ac:dyDescent="0.55000000000000004">
      <c r="A11" s="11" t="s">
        <v>9</v>
      </c>
      <c r="B11" s="12" t="s">
        <v>10</v>
      </c>
      <c r="C11" s="13">
        <v>119.54</v>
      </c>
      <c r="D11" s="13">
        <v>146.15</v>
      </c>
      <c r="E11" s="13">
        <v>139</v>
      </c>
      <c r="F11" s="13">
        <v>171.94</v>
      </c>
    </row>
    <row r="12" spans="1:6" ht="35.25" thickBot="1" x14ac:dyDescent="0.55000000000000004">
      <c r="A12" s="11" t="s">
        <v>11</v>
      </c>
      <c r="B12" s="12" t="s">
        <v>12</v>
      </c>
      <c r="C12" s="13">
        <v>42.47</v>
      </c>
      <c r="D12" s="13">
        <v>35.04</v>
      </c>
      <c r="E12" s="13">
        <v>45.18</v>
      </c>
      <c r="F12" s="13">
        <v>36.5</v>
      </c>
    </row>
    <row r="13" spans="1:6" ht="35.25" thickBot="1" x14ac:dyDescent="0.55000000000000004">
      <c r="A13" s="11" t="s">
        <v>13</v>
      </c>
      <c r="B13" s="12" t="s">
        <v>14</v>
      </c>
      <c r="C13" s="13">
        <v>56.2</v>
      </c>
      <c r="D13" s="13">
        <v>48.52</v>
      </c>
      <c r="E13" s="13">
        <v>61.09</v>
      </c>
      <c r="F13" s="13">
        <v>51.62</v>
      </c>
    </row>
    <row r="14" spans="1:6" ht="35.25" thickBot="1" x14ac:dyDescent="0.55000000000000004">
      <c r="A14" s="11" t="s">
        <v>15</v>
      </c>
      <c r="B14" s="12" t="s">
        <v>16</v>
      </c>
      <c r="C14" s="13">
        <v>77.239999999999995</v>
      </c>
      <c r="D14" s="13">
        <v>106.4</v>
      </c>
      <c r="E14" s="13">
        <v>88.78</v>
      </c>
      <c r="F14" s="13">
        <v>123.72</v>
      </c>
    </row>
    <row r="15" spans="1:6" ht="21" thickBot="1" x14ac:dyDescent="0.55000000000000004">
      <c r="A15" s="14" t="s">
        <v>26</v>
      </c>
      <c r="B15" s="12" t="s">
        <v>17</v>
      </c>
      <c r="C15" s="13">
        <v>135.41999999999999</v>
      </c>
      <c r="D15" s="13">
        <v>169.95</v>
      </c>
      <c r="E15" s="13">
        <v>159.54</v>
      </c>
      <c r="F15" s="13">
        <v>202.58</v>
      </c>
    </row>
    <row r="16" spans="1:6" ht="21" thickBot="1" x14ac:dyDescent="0.55000000000000004">
      <c r="A16" s="15" t="s">
        <v>18</v>
      </c>
      <c r="B16" s="12" t="s">
        <v>19</v>
      </c>
      <c r="C16" s="13">
        <v>131.53</v>
      </c>
      <c r="D16" s="13">
        <v>171.07</v>
      </c>
      <c r="E16" s="13">
        <v>153.15</v>
      </c>
      <c r="F16" s="13">
        <v>201.51</v>
      </c>
    </row>
    <row r="17" spans="1:6" ht="21" thickBot="1" x14ac:dyDescent="0.55000000000000004">
      <c r="A17" s="14" t="s">
        <v>27</v>
      </c>
      <c r="B17" s="12" t="s">
        <v>20</v>
      </c>
      <c r="C17" s="13">
        <v>92.83</v>
      </c>
      <c r="D17" s="13">
        <v>102.75</v>
      </c>
      <c r="E17" s="13">
        <v>105.63</v>
      </c>
      <c r="F17" s="13">
        <v>118.25</v>
      </c>
    </row>
    <row r="18" spans="1:6" ht="21" thickBot="1" x14ac:dyDescent="0.55000000000000004">
      <c r="A18" s="15" t="s">
        <v>21</v>
      </c>
      <c r="B18" s="12" t="s">
        <v>22</v>
      </c>
      <c r="C18" s="13">
        <v>55.44</v>
      </c>
      <c r="D18" s="13">
        <v>40.880000000000003</v>
      </c>
      <c r="E18" s="13">
        <v>59.51</v>
      </c>
      <c r="F18" s="13">
        <v>43.02</v>
      </c>
    </row>
    <row r="19" spans="1:6" ht="15" customHeight="1" thickBot="1" x14ac:dyDescent="0.55000000000000004">
      <c r="A19" s="15" t="s">
        <v>23</v>
      </c>
      <c r="B19" s="12" t="s">
        <v>24</v>
      </c>
      <c r="C19" s="13">
        <v>37.03</v>
      </c>
      <c r="D19" s="13">
        <v>25.09</v>
      </c>
      <c r="E19" s="13">
        <v>39.33</v>
      </c>
      <c r="F19" s="13">
        <v>26.13</v>
      </c>
    </row>
    <row r="20" spans="1:6" ht="21" thickBot="1" x14ac:dyDescent="0.55000000000000004">
      <c r="A20" s="14" t="s">
        <v>28</v>
      </c>
      <c r="B20" s="12" t="s">
        <v>25</v>
      </c>
      <c r="C20" s="13">
        <v>35.119999999999997</v>
      </c>
      <c r="D20" s="13">
        <v>38.700000000000003</v>
      </c>
      <c r="E20" s="13">
        <v>36.9</v>
      </c>
      <c r="F20" s="13">
        <v>39.89</v>
      </c>
    </row>
    <row r="22" spans="1:6" x14ac:dyDescent="0.5">
      <c r="A22" s="16"/>
      <c r="B22" s="17"/>
      <c r="C22" s="17"/>
      <c r="D22" s="17"/>
      <c r="E22" s="18"/>
    </row>
    <row r="23" spans="1:6" x14ac:dyDescent="0.5">
      <c r="A23" s="16"/>
      <c r="B23" s="17"/>
      <c r="C23" s="17"/>
      <c r="D23" s="17"/>
      <c r="E23" s="18"/>
    </row>
    <row r="24" spans="1:6" x14ac:dyDescent="0.5">
      <c r="A24" s="16"/>
      <c r="B24" s="17"/>
      <c r="C24" s="17"/>
      <c r="D24" s="17"/>
      <c r="E24" s="18"/>
    </row>
  </sheetData>
  <mergeCells count="1">
    <mergeCell ref="A8:F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CC13D-316E-4868-871C-566CB46E6CD5}">
  <dimension ref="A1:D8"/>
  <sheetViews>
    <sheetView tabSelected="1" workbookViewId="0">
      <selection activeCell="H8" sqref="H8"/>
    </sheetView>
  </sheetViews>
  <sheetFormatPr baseColWidth="10" defaultRowHeight="20.25" x14ac:dyDescent="0.5"/>
  <cols>
    <col min="1" max="1" width="24.140625" style="1" customWidth="1"/>
    <col min="2" max="2" width="19.7109375" style="1" customWidth="1"/>
    <col min="3" max="3" width="17.85546875" style="1" customWidth="1"/>
    <col min="4" max="16384" width="11.42578125" style="1"/>
  </cols>
  <sheetData>
    <row r="1" spans="1:4" ht="25.5" thickBot="1" x14ac:dyDescent="0.65">
      <c r="A1" s="19" t="s">
        <v>35</v>
      </c>
      <c r="B1" s="20"/>
      <c r="C1" s="20"/>
      <c r="D1" s="20"/>
    </row>
    <row r="2" spans="1:4" ht="21" thickBot="1" x14ac:dyDescent="0.55000000000000004">
      <c r="A2" s="21" t="s">
        <v>36</v>
      </c>
      <c r="B2" s="20"/>
      <c r="C2" s="20"/>
      <c r="D2" s="20"/>
    </row>
    <row r="3" spans="1:4" ht="21" thickBot="1" x14ac:dyDescent="0.55000000000000004">
      <c r="A3" s="22"/>
      <c r="B3" s="22"/>
      <c r="C3" s="22"/>
      <c r="D3" s="22"/>
    </row>
    <row r="4" spans="1:4" ht="33.75" thickBot="1" x14ac:dyDescent="0.55000000000000004">
      <c r="A4" s="6" t="s">
        <v>29</v>
      </c>
      <c r="B4" s="7" t="s">
        <v>30</v>
      </c>
      <c r="C4" s="7" t="s">
        <v>31</v>
      </c>
      <c r="D4" s="7" t="s">
        <v>32</v>
      </c>
    </row>
    <row r="5" spans="1:4" ht="21" thickBot="1" x14ac:dyDescent="0.55000000000000004">
      <c r="A5" s="11" t="s">
        <v>33</v>
      </c>
      <c r="B5" s="23">
        <v>200000</v>
      </c>
      <c r="C5" s="23">
        <f>B5+B5*D5</f>
        <v>188200</v>
      </c>
      <c r="D5" s="24">
        <v>-5.8999999999999997E-2</v>
      </c>
    </row>
    <row r="6" spans="1:4" ht="21" thickBot="1" x14ac:dyDescent="0.55000000000000004">
      <c r="A6" s="11" t="s">
        <v>37</v>
      </c>
      <c r="B6" s="23">
        <v>5000</v>
      </c>
      <c r="C6" s="23">
        <f>B6+B6*D6</f>
        <v>4585</v>
      </c>
      <c r="D6" s="24">
        <v>-8.3000000000000004E-2</v>
      </c>
    </row>
    <row r="7" spans="1:4" ht="21" thickBot="1" x14ac:dyDescent="0.55000000000000004">
      <c r="A7" s="8" t="s">
        <v>34</v>
      </c>
      <c r="B7" s="25">
        <f>SUM(B5:B6)</f>
        <v>205000</v>
      </c>
      <c r="C7" s="25">
        <f>SUM(C5:C6)</f>
        <v>192785</v>
      </c>
      <c r="D7" s="26">
        <v>-0.03</v>
      </c>
    </row>
    <row r="8" spans="1:4" ht="21" thickBot="1" x14ac:dyDescent="0.55000000000000004">
      <c r="A8" s="20"/>
      <c r="B8" s="20"/>
      <c r="C8" s="20"/>
      <c r="D8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Settlement Prices 011226</vt:lpstr>
      <vt:lpstr>Commercial forecast 011226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Donio</dc:creator>
  <cp:lastModifiedBy>Sébastien Donio</cp:lastModifiedBy>
  <dcterms:created xsi:type="dcterms:W3CDTF">2022-11-14T06:52:51Z</dcterms:created>
  <dcterms:modified xsi:type="dcterms:W3CDTF">2026-09-28T15:14:11Z</dcterms:modified>
</cp:coreProperties>
</file>