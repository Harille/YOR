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form 3112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<sst xmlns="http://schemas.openxmlformats.org/spreadsheetml/2006/main" count="58" uniqueCount="50">
  <si>
    <t xml:space="preserve">EPEX Spot order form for 01st January 2027</t>
  </si>
  <si>
    <t xml:space="preserve">Gate closure 12:00 CET</t>
  </si>
  <si>
    <t xml:space="preserve">BUY</t>
  </si>
  <si>
    <t xml:space="preserve">POSITIVE</t>
  </si>
  <si>
    <t xml:space="preserve">SELL</t>
  </si>
  <si>
    <t xml:space="preserve">NEGATIVE</t>
  </si>
  <si>
    <t xml:space="preserve">31/12/2026</t>
  </si>
  <si>
    <t xml:space="preserve">Hour</t>
  </si>
  <si>
    <t xml:space="preserve">Net Load
(MWh)</t>
  </si>
  <si>
    <t xml:space="preserve">Production
(MWh)</t>
  </si>
  <si>
    <t xml:space="preserve">Interval 1</t>
  </si>
  <si>
    <t xml:space="preserve">Interval 2</t>
  </si>
  <si>
    <t xml:space="preserve">Interval 3</t>
  </si>
  <si>
    <t xml:space="preserve">Interval 4</t>
  </si>
  <si>
    <t xml:space="preserve">Interval 5</t>
  </si>
  <si>
    <t xml:space="preserve">ORDER - volume
(MWh)</t>
  </si>
  <si>
    <t xml:space="preserve">Price below
(EUR/MWh)</t>
  </si>
  <si>
    <t xml:space="preserve">00:00 - 01:00</t>
  </si>
  <si>
    <t xml:space="preserve">01:00 - 02:00</t>
  </si>
  <si>
    <t xml:space="preserve">02:00 - 03:00</t>
  </si>
  <si>
    <t xml:space="preserve">03:00 - 04:00</t>
  </si>
  <si>
    <t xml:space="preserve">04:00 - 05:00</t>
  </si>
  <si>
    <t xml:space="preserve">05:00 - 06:00</t>
  </si>
  <si>
    <t xml:space="preserve">06:00 - 07:00</t>
  </si>
  <si>
    <t xml:space="preserve">07:00 - 08:00</t>
  </si>
  <si>
    <t xml:space="preserve">08:00 - 09:00</t>
  </si>
  <si>
    <t xml:space="preserve">09:00 - 10:00</t>
  </si>
  <si>
    <t xml:space="preserve">10:00 - 11:00</t>
  </si>
  <si>
    <t xml:space="preserve">11:00 - 12:00</t>
  </si>
  <si>
    <t xml:space="preserve">12:00 - 13:00</t>
  </si>
  <si>
    <t xml:space="preserve">13:00 - 14:00</t>
  </si>
  <si>
    <t xml:space="preserve">14:00 - 15:00</t>
  </si>
  <si>
    <t xml:space="preserve">15:00 - 16:00</t>
  </si>
  <si>
    <t xml:space="preserve">16:00 - 17:00</t>
  </si>
  <si>
    <t xml:space="preserve">17:00 - 18:00</t>
  </si>
  <si>
    <t xml:space="preserve">18:00 - 19:00</t>
  </si>
  <si>
    <t xml:space="preserve">19:00 - 20:00</t>
  </si>
  <si>
    <t xml:space="preserve">20:00 - 21:00</t>
  </si>
  <si>
    <t xml:space="preserve">21:00 - 22:00</t>
  </si>
  <si>
    <t xml:space="preserve">22:00 - 23:00</t>
  </si>
  <si>
    <t xml:space="preserve">23:00 - 24:00</t>
  </si>
  <si>
    <t xml:space="preserve">Total achats au prix de marche (MWh)</t>
  </si>
  <si>
    <t xml:space="preserve">Total ventes au prix de marche (MWh)</t>
  </si>
  <si>
    <t xml:space="preserve">Lecture du formulaire</t>
  </si>
  <si>
    <t xml:space="preserve">Chaque ligne est une courbe d'ordre en escalier : la colonne Price below donne le haut de l'intervalle, la colonne ORDER le volume vendu (negatif) ou achete (positif) tant que le prix reste sous ce seuil.</t>
  </si>
  <si>
    <t xml:space="preserve">Net Load = charge prevue - couverture forward livree (61,01 MW de ruban le 1er janvier, apres la revente du T3). Production = centrale photovoltaique de 80 MWc.</t>
  </si>
  <si>
    <t xml:space="preserve">Heures avec solaire (08h-17h) : sous 0 EUR/MWh la centrale est effacee et tout le Net Load est achete au marche ; au-dessus elle produit et l'ordre se reduit d'autant. Son cout marginal est nul.</t>
  </si>
  <si>
    <t xml:space="preserve">Heures de vente (00h-08h) : le volume est subi, on l'ecoule a tout prix superieur a -600 EUR/MWh.</t>
  </si>
  <si>
    <t xml:space="preserve">Heures d'achat sans solaire (17h-24h) : volume subi, un seul palier jusqu'au plafond de 4000 EUR/MWh.</t>
  </si>
  <si>
    <t xml:space="preserve">Chiffres en bleu : sorties de notre modele (t3_spot.py, jalon T3 du 31/12/2026). Les volumes d'ordre sont calcules.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</si>
</sst>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D3" s="3" t="s">
        <v>2</v>
      </c>
      <c r="E3" s="3" t="s">
        <v>3</v>
      </c>
    </row>
    <row r="4" customFormat="false" ht="15" hidden="false" customHeight="false" outlineLevel="0" collapsed="false">
      <c r="D4" s="3" t="s">
        <v>4</v>
      </c>
      <c r="E4" s="3" t="s">
        <v>5</v>
      </c>
      <c r="G4" s="4" t="s">
        <v>6</v>
      </c>
    </row>
    <row r="7" customFormat="false" ht="18" hidden="false" customHeight="true" outlineLevel="0" collapsed="false">
      <c r="A7" s="5" t="s">
        <v>7</v>
      </c>
      <c r="B7" s="5" t="s">
        <v>8</v>
      </c>
      <c r="C7" s="5" t="s">
        <v>9</v>
      </c>
      <c r="D7" s="6" t="s">
        <v>10</v>
      </c>
      <c r="E7" s="6"/>
      <c r="F7" s="6" t="s">
        <v>11</v>
      </c>
      <c r="G7" s="6"/>
      <c r="H7" s="6" t="s">
        <v>12</v>
      </c>
      <c r="I7" s="6"/>
      <c r="J7" s="6" t="s">
        <v>13</v>
      </c>
      <c r="K7" s="6"/>
      <c r="L7" s="6" t="s">
        <v>14</v>
      </c>
      <c r="M7" s="6"/>
    </row>
    <row r="8" customFormat="false" ht="31.5" hidden="false" customHeight="true" outlineLevel="0" collapsed="false">
      <c r="A8" s="5"/>
      <c r="B8" s="5"/>
      <c r="C8" s="5"/>
      <c r="D8" s="7" t="s">
        <v>15</v>
      </c>
      <c r="E8" s="7" t="s">
        <v>16</v>
      </c>
      <c r="F8" s="7" t="s">
        <v>15</v>
      </c>
      <c r="G8" s="7" t="s">
        <v>16</v>
      </c>
      <c r="H8" s="7" t="s">
        <v>15</v>
      </c>
      <c r="I8" s="7" t="s">
        <v>16</v>
      </c>
      <c r="J8" s="7" t="s">
        <v>15</v>
      </c>
      <c r="K8" s="7" t="s">
        <v>16</v>
      </c>
      <c r="L8" s="7" t="s">
        <v>15</v>
      </c>
      <c r="M8" s="7" t="s">
        <v>16</v>
      </c>
    </row>
    <row r="9" customFormat="false" ht="15" hidden="false" customHeight="false" outlineLevel="0" collapsed="false">
      <c r="A9" s="8" t="s">
        <v>17</v>
      </c>
      <c r="B9" s="9" t="n">
        <v>-1.14</v>
      </c>
      <c r="C9" s="9" t="n">
        <v>0</v>
      </c>
      <c r="D9" s="10" t="n">
        <v>0</v>
      </c>
      <c r="E9" s="11" t="n">
        <v>-600</v>
      </c>
      <c r="F9" s="10" t="n">
        <f aca="false">B9-C9</f>
        <v>-1.14</v>
      </c>
      <c r="G9" s="11" t="n">
        <v>4000</v>
      </c>
      <c r="H9" s="12"/>
      <c r="I9" s="12"/>
      <c r="J9" s="12"/>
      <c r="K9" s="12"/>
      <c r="L9" s="12"/>
      <c r="M9" s="12"/>
    </row>
    <row r="10" customFormat="false" ht="15" hidden="false" customHeight="false" outlineLevel="0" collapsed="false">
      <c r="A10" s="13" t="s">
        <v>18</v>
      </c>
      <c r="B10" s="14" t="n">
        <v>-7.36</v>
      </c>
      <c r="C10" s="14" t="n">
        <v>0</v>
      </c>
      <c r="D10" s="15" t="n">
        <v>0</v>
      </c>
      <c r="E10" s="16" t="n">
        <v>-600</v>
      </c>
      <c r="F10" s="15" t="n">
        <f aca="false">B10-C10</f>
        <v>-7.36</v>
      </c>
      <c r="G10" s="16" t="n">
        <v>4000</v>
      </c>
      <c r="H10" s="17"/>
      <c r="I10" s="17"/>
      <c r="J10" s="17"/>
      <c r="K10" s="17"/>
      <c r="L10" s="17"/>
      <c r="M10" s="17"/>
    </row>
    <row r="11" customFormat="false" ht="15" hidden="false" customHeight="false" outlineLevel="0" collapsed="false">
      <c r="A11" s="8" t="s">
        <v>19</v>
      </c>
      <c r="B11" s="9" t="n">
        <v>-10.5</v>
      </c>
      <c r="C11" s="9" t="n">
        <v>0</v>
      </c>
      <c r="D11" s="10" t="n">
        <v>0</v>
      </c>
      <c r="E11" s="11" t="n">
        <v>-600</v>
      </c>
      <c r="F11" s="10" t="n">
        <f aca="false">B11-C11</f>
        <v>-10.5</v>
      </c>
      <c r="G11" s="11" t="n">
        <v>4000</v>
      </c>
      <c r="H11" s="12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3" t="s">
        <v>20</v>
      </c>
      <c r="B12" s="14" t="n">
        <v>-11.91</v>
      </c>
      <c r="C12" s="14" t="n">
        <v>0</v>
      </c>
      <c r="D12" s="15" t="n">
        <v>0</v>
      </c>
      <c r="E12" s="16" t="n">
        <v>-600</v>
      </c>
      <c r="F12" s="15" t="n">
        <f aca="false">B12-C12</f>
        <v>-11.91</v>
      </c>
      <c r="G12" s="16" t="n">
        <v>4000</v>
      </c>
      <c r="H12" s="17"/>
      <c r="I12" s="17"/>
      <c r="J12" s="17"/>
      <c r="K12" s="17"/>
      <c r="L12" s="17"/>
      <c r="M12" s="17"/>
    </row>
    <row r="13" customFormat="false" ht="15" hidden="false" customHeight="false" outlineLevel="0" collapsed="false">
      <c r="A13" s="8" t="s">
        <v>21</v>
      </c>
      <c r="B13" s="9" t="n">
        <v>-12.35</v>
      </c>
      <c r="C13" s="9" t="n">
        <v>0</v>
      </c>
      <c r="D13" s="10" t="n">
        <v>0</v>
      </c>
      <c r="E13" s="11" t="n">
        <v>-600</v>
      </c>
      <c r="F13" s="10" t="n">
        <f aca="false">B13-C13</f>
        <v>-12.35</v>
      </c>
      <c r="G13" s="11" t="n">
        <v>4000</v>
      </c>
      <c r="H13" s="12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3" t="s">
        <v>22</v>
      </c>
      <c r="B14" s="14" t="n">
        <v>-11.91</v>
      </c>
      <c r="C14" s="14" t="n">
        <v>0</v>
      </c>
      <c r="D14" s="15" t="n">
        <v>0</v>
      </c>
      <c r="E14" s="16" t="n">
        <v>-600</v>
      </c>
      <c r="F14" s="15" t="n">
        <f aca="false">B14-C14</f>
        <v>-11.91</v>
      </c>
      <c r="G14" s="16" t="n">
        <v>4000</v>
      </c>
      <c r="H14" s="17"/>
      <c r="I14" s="17"/>
      <c r="J14" s="17"/>
      <c r="K14" s="17"/>
      <c r="L14" s="17"/>
      <c r="M14" s="17"/>
    </row>
    <row r="15" customFormat="false" ht="15" hidden="false" customHeight="false" outlineLevel="0" collapsed="false">
      <c r="A15" s="8" t="s">
        <v>23</v>
      </c>
      <c r="B15" s="9" t="n">
        <v>-8.83</v>
      </c>
      <c r="C15" s="9" t="n">
        <v>0</v>
      </c>
      <c r="D15" s="10" t="n">
        <v>0</v>
      </c>
      <c r="E15" s="11" t="n">
        <v>-600</v>
      </c>
      <c r="F15" s="10" t="n">
        <f aca="false">B15-C15</f>
        <v>-8.83</v>
      </c>
      <c r="G15" s="11" t="n">
        <v>4000</v>
      </c>
      <c r="H15" s="12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3" t="s">
        <v>24</v>
      </c>
      <c r="B16" s="14" t="n">
        <v>-1.61</v>
      </c>
      <c r="C16" s="14" t="n">
        <v>0</v>
      </c>
      <c r="D16" s="15" t="n">
        <v>0</v>
      </c>
      <c r="E16" s="16" t="n">
        <v>-600</v>
      </c>
      <c r="F16" s="15" t="n">
        <f aca="false">B16-C16</f>
        <v>-1.61</v>
      </c>
      <c r="G16" s="16" t="n">
        <v>4000</v>
      </c>
      <c r="H16" s="17"/>
      <c r="I16" s="17"/>
      <c r="J16" s="17"/>
      <c r="K16" s="17"/>
      <c r="L16" s="17"/>
      <c r="M16" s="17"/>
    </row>
    <row r="17" customFormat="false" ht="15" hidden="false" customHeight="false" outlineLevel="0" collapsed="false">
      <c r="A17" s="8" t="s">
        <v>25</v>
      </c>
      <c r="B17" s="9" t="n">
        <v>10.43</v>
      </c>
      <c r="C17" s="9" t="n">
        <v>2</v>
      </c>
      <c r="D17" s="10" t="n">
        <f aca="false">B17</f>
        <v>10.43</v>
      </c>
      <c r="E17" s="11" t="n">
        <v>0</v>
      </c>
      <c r="F17" s="10" t="n">
        <f aca="false">B17-C17</f>
        <v>8.43</v>
      </c>
      <c r="G17" s="11" t="n">
        <v>4000</v>
      </c>
      <c r="H17" s="12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3" t="s">
        <v>26</v>
      </c>
      <c r="B18" s="14" t="n">
        <v>19.65</v>
      </c>
      <c r="C18" s="14" t="n">
        <v>8</v>
      </c>
      <c r="D18" s="15" t="n">
        <f aca="false">B18</f>
        <v>19.65</v>
      </c>
      <c r="E18" s="16" t="n">
        <v>0</v>
      </c>
      <c r="F18" s="15" t="n">
        <f aca="false">B18-C18</f>
        <v>11.65</v>
      </c>
      <c r="G18" s="16" t="n">
        <v>4000</v>
      </c>
      <c r="H18" s="17"/>
      <c r="I18" s="17"/>
      <c r="J18" s="17"/>
      <c r="K18" s="17"/>
      <c r="L18" s="17"/>
      <c r="M18" s="17"/>
    </row>
    <row r="19" customFormat="false" ht="15" hidden="false" customHeight="false" outlineLevel="0" collapsed="false">
      <c r="A19" s="8" t="s">
        <v>27</v>
      </c>
      <c r="B19" s="9" t="n">
        <v>26.16</v>
      </c>
      <c r="C19" s="9" t="n">
        <v>15</v>
      </c>
      <c r="D19" s="10" t="n">
        <f aca="false">B19</f>
        <v>26.16</v>
      </c>
      <c r="E19" s="11" t="n">
        <v>0</v>
      </c>
      <c r="F19" s="10" t="n">
        <f aca="false">B19-C19</f>
        <v>11.16</v>
      </c>
      <c r="G19" s="11" t="n">
        <v>4000</v>
      </c>
      <c r="H19" s="12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3" t="s">
        <v>28</v>
      </c>
      <c r="B20" s="14" t="n">
        <v>34.05</v>
      </c>
      <c r="C20" s="14" t="n">
        <v>21</v>
      </c>
      <c r="D20" s="15" t="n">
        <f aca="false">B20</f>
        <v>34.05</v>
      </c>
      <c r="E20" s="16" t="n">
        <v>0</v>
      </c>
      <c r="F20" s="15" t="n">
        <f aca="false">B20-C20</f>
        <v>13.05</v>
      </c>
      <c r="G20" s="16" t="n">
        <v>4000</v>
      </c>
      <c r="H20" s="17"/>
      <c r="I20" s="17"/>
      <c r="J20" s="17"/>
      <c r="K20" s="17"/>
      <c r="L20" s="17"/>
      <c r="M20" s="17"/>
    </row>
    <row r="21" customFormat="false" ht="15" hidden="false" customHeight="false" outlineLevel="0" collapsed="false">
      <c r="A21" s="8" t="s">
        <v>29</v>
      </c>
      <c r="B21" s="9" t="n">
        <v>34.91</v>
      </c>
      <c r="C21" s="9" t="n">
        <v>24</v>
      </c>
      <c r="D21" s="10" t="n">
        <f aca="false">B21</f>
        <v>34.91</v>
      </c>
      <c r="E21" s="11" t="n">
        <v>0</v>
      </c>
      <c r="F21" s="10" t="n">
        <f aca="false">B21-C21</f>
        <v>10.91</v>
      </c>
      <c r="G21" s="11" t="n">
        <v>4000</v>
      </c>
      <c r="H21" s="12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3" t="s">
        <v>30</v>
      </c>
      <c r="B22" s="14" t="n">
        <v>25.33</v>
      </c>
      <c r="C22" s="14" t="n">
        <v>21</v>
      </c>
      <c r="D22" s="15" t="n">
        <f aca="false">B22</f>
        <v>25.33</v>
      </c>
      <c r="E22" s="16" t="n">
        <v>0</v>
      </c>
      <c r="F22" s="15" t="n">
        <f aca="false">B22-C22</f>
        <v>4.33</v>
      </c>
      <c r="G22" s="16" t="n">
        <v>4000</v>
      </c>
      <c r="H22" s="17"/>
      <c r="I22" s="17"/>
      <c r="J22" s="17"/>
      <c r="K22" s="17"/>
      <c r="L22" s="17"/>
      <c r="M22" s="17"/>
    </row>
    <row r="23" customFormat="false" ht="15" hidden="false" customHeight="false" outlineLevel="0" collapsed="false">
      <c r="A23" s="8" t="s">
        <v>31</v>
      </c>
      <c r="B23" s="9" t="n">
        <v>20.88</v>
      </c>
      <c r="C23" s="9" t="n">
        <v>14</v>
      </c>
      <c r="D23" s="10" t="n">
        <f aca="false">B23</f>
        <v>20.88</v>
      </c>
      <c r="E23" s="11" t="n">
        <v>0</v>
      </c>
      <c r="F23" s="10" t="n">
        <f aca="false">B23-C23</f>
        <v>6.88</v>
      </c>
      <c r="G23" s="11" t="n">
        <v>4000</v>
      </c>
      <c r="H23" s="12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3" t="s">
        <v>32</v>
      </c>
      <c r="B24" s="14" t="n">
        <v>18.91</v>
      </c>
      <c r="C24" s="14" t="n">
        <v>5</v>
      </c>
      <c r="D24" s="15" t="n">
        <f aca="false">B24</f>
        <v>18.91</v>
      </c>
      <c r="E24" s="16" t="n">
        <v>0</v>
      </c>
      <c r="F24" s="15" t="n">
        <f aca="false">B24-C24</f>
        <v>13.91</v>
      </c>
      <c r="G24" s="16" t="n">
        <v>4000</v>
      </c>
      <c r="H24" s="17"/>
      <c r="I24" s="17"/>
      <c r="J24" s="17"/>
      <c r="K24" s="17"/>
      <c r="L24" s="17"/>
      <c r="M24" s="17"/>
    </row>
    <row r="25" customFormat="false" ht="15" hidden="false" customHeight="false" outlineLevel="0" collapsed="false">
      <c r="A25" s="8" t="s">
        <v>33</v>
      </c>
      <c r="B25" s="9" t="n">
        <v>22.48</v>
      </c>
      <c r="C25" s="9" t="n">
        <v>0.5</v>
      </c>
      <c r="D25" s="10" t="n">
        <f aca="false">B25</f>
        <v>22.48</v>
      </c>
      <c r="E25" s="11" t="n">
        <v>0</v>
      </c>
      <c r="F25" s="10" t="n">
        <f aca="false">B25-C25</f>
        <v>21.98</v>
      </c>
      <c r="G25" s="11" t="n">
        <v>4000</v>
      </c>
      <c r="H25" s="12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3" t="s">
        <v>34</v>
      </c>
      <c r="B26" s="14" t="n">
        <v>33.03</v>
      </c>
      <c r="C26" s="14" t="n">
        <v>0</v>
      </c>
      <c r="D26" s="15" t="n">
        <f aca="false">B26-C26</f>
        <v>33.03</v>
      </c>
      <c r="E26" s="16" t="n">
        <v>4000</v>
      </c>
      <c r="F26" s="17"/>
      <c r="G26" s="17"/>
      <c r="H26" s="17"/>
      <c r="I26" s="17"/>
      <c r="J26" s="17"/>
      <c r="K26" s="17"/>
      <c r="L26" s="17"/>
      <c r="M26" s="17"/>
    </row>
    <row r="27" customFormat="false" ht="15" hidden="false" customHeight="false" outlineLevel="0" collapsed="false">
      <c r="A27" s="8" t="s">
        <v>35</v>
      </c>
      <c r="B27" s="9" t="n">
        <v>46.52</v>
      </c>
      <c r="C27" s="9" t="n">
        <v>0</v>
      </c>
      <c r="D27" s="10" t="n">
        <f aca="false">B27-C27</f>
        <v>46.52</v>
      </c>
      <c r="E27" s="11" t="n">
        <v>4000</v>
      </c>
      <c r="F27" s="12"/>
      <c r="G27" s="12"/>
      <c r="H27" s="12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3" t="s">
        <v>36</v>
      </c>
      <c r="B28" s="14" t="n">
        <v>53.39</v>
      </c>
      <c r="C28" s="14" t="n">
        <v>0</v>
      </c>
      <c r="D28" s="15" t="n">
        <f aca="false">B28-C28</f>
        <v>53.39</v>
      </c>
      <c r="E28" s="16" t="n">
        <v>4000</v>
      </c>
      <c r="F28" s="17"/>
      <c r="G28" s="17"/>
      <c r="H28" s="17"/>
      <c r="I28" s="17"/>
      <c r="J28" s="17"/>
      <c r="K28" s="17"/>
      <c r="L28" s="17"/>
      <c r="M28" s="17"/>
    </row>
    <row r="29" customFormat="false" ht="15" hidden="false" customHeight="false" outlineLevel="0" collapsed="false">
      <c r="A29" s="8" t="s">
        <v>37</v>
      </c>
      <c r="B29" s="9" t="n">
        <v>47.35</v>
      </c>
      <c r="C29" s="9" t="n">
        <v>0</v>
      </c>
      <c r="D29" s="10" t="n">
        <f aca="false">B29-C29</f>
        <v>47.35</v>
      </c>
      <c r="E29" s="11" t="n">
        <v>4000</v>
      </c>
      <c r="F29" s="12"/>
      <c r="G29" s="12"/>
      <c r="H29" s="12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3" t="s">
        <v>38</v>
      </c>
      <c r="B30" s="14" t="n">
        <v>34.15</v>
      </c>
      <c r="C30" s="14" t="n">
        <v>0</v>
      </c>
      <c r="D30" s="15" t="n">
        <f aca="false">B30-C30</f>
        <v>34.15</v>
      </c>
      <c r="E30" s="16" t="n">
        <v>4000</v>
      </c>
      <c r="F30" s="17"/>
      <c r="G30" s="17"/>
      <c r="H30" s="17"/>
      <c r="I30" s="17"/>
      <c r="J30" s="17"/>
      <c r="K30" s="17"/>
      <c r="L30" s="17"/>
      <c r="M30" s="17"/>
    </row>
    <row r="31" customFormat="false" ht="15" hidden="false" customHeight="false" outlineLevel="0" collapsed="false">
      <c r="A31" s="8" t="s">
        <v>39</v>
      </c>
      <c r="B31" s="9" t="n">
        <v>19.7</v>
      </c>
      <c r="C31" s="9" t="n">
        <v>0</v>
      </c>
      <c r="D31" s="10" t="n">
        <f aca="false">B31-C31</f>
        <v>19.7</v>
      </c>
      <c r="E31" s="11" t="n">
        <v>4000</v>
      </c>
      <c r="F31" s="12"/>
      <c r="G31" s="12"/>
      <c r="H31" s="12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3" t="s">
        <v>40</v>
      </c>
      <c r="B32" s="14" t="n">
        <v>4.08</v>
      </c>
      <c r="C32" s="14" t="n">
        <v>0</v>
      </c>
      <c r="D32" s="15" t="n">
        <f aca="false">B32-C32</f>
        <v>4.08</v>
      </c>
      <c r="E32" s="16" t="n">
        <v>4000</v>
      </c>
      <c r="F32" s="17"/>
      <c r="G32" s="17"/>
      <c r="H32" s="17"/>
      <c r="I32" s="17"/>
      <c r="J32" s="17"/>
      <c r="K32" s="17"/>
      <c r="L32" s="17"/>
      <c r="M32" s="17"/>
    </row>
    <row r="34" customFormat="false" ht="15" hidden="false" customHeight="false" outlineLevel="0" collapsed="false">
      <c r="A34" s="3" t="s">
        <v>41</v>
      </c>
      <c r="C34" s="18" t="n">
        <f aca="false">SUMPRODUCT(((B9:B32-C9:C32)&gt;0)*(B9:B32-C9:C32))</f>
        <v>340.52</v>
      </c>
    </row>
    <row r="35" customFormat="false" ht="15" hidden="false" customHeight="false" outlineLevel="0" collapsed="false">
      <c r="A35" s="3" t="s">
        <v>42</v>
      </c>
      <c r="C35" s="18" t="n">
        <f aca="false">SUMPRODUCT(((B9:B32-C9:C32)&lt;0)*(B9:B32-C9:C32))</f>
        <v>-65.61</v>
      </c>
    </row>
    <row r="37" customFormat="false" ht="15" hidden="false" customHeight="false" outlineLevel="0" collapsed="false">
      <c r="A37" s="19"/>
    </row>
    <row r="38" customFormat="false" ht="15" hidden="false" customHeight="false" outlineLevel="0" collapsed="false">
      <c r="A38" s="3" t="s">
        <v>43</v>
      </c>
    </row>
    <row r="39" customFormat="false" ht="15" hidden="false" customHeight="false" outlineLevel="0" collapsed="false">
      <c r="A39" s="19" t="s">
        <v>44</v>
      </c>
    </row>
    <row r="40" customFormat="false" ht="15" hidden="false" customHeight="false" outlineLevel="0" collapsed="false">
      <c r="A40" s="19" t="s">
        <v>45</v>
      </c>
    </row>
    <row r="41" customFormat="false" ht="15" hidden="false" customHeight="false" outlineLevel="0" collapsed="false">
      <c r="A41" s="19" t="s">
        <v>46</v>
      </c>
    </row>
    <row r="42" customFormat="false" ht="15" hidden="false" customHeight="false" outlineLevel="0" collapsed="false">
      <c r="A42" s="19" t="s">
        <v>47</v>
      </c>
    </row>
    <row r="43" customFormat="false" ht="15" hidden="false" customHeight="false" outlineLevel="0" collapsed="false">
      <c r="A43" s="19" t="s">
        <v>48</v>
      </c>
    </row>
    <row r="44" customFormat="false" ht="15" hidden="false" customHeight="false" outlineLevel="0" collapsed="false">
      <c r="A44" s="19"/>
    </row>
    <row r="45" customFormat="false" ht="15" hidden="false" customHeight="false" outlineLevel="0" collapsed="false">
      <c r="A45" s="19" t="s">
        <v>49</v>
      </c>
    </row>
  </sheetData>
  <mergeCells count="8">
    <mergeCell ref="A7:A8"/>
    <mergeCell ref="B7:B8"/>
    <mergeCell ref="C7:C8"/>
    <mergeCell ref="D7:E7"/>
    <mergeCell ref="F7:G7"/>
    <mergeCell ref="H7:I7"/>
    <mergeCell ref="J7:K7"/>
    <mergeCell ref="L7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2026-10-15T08:32:39Z</dcterms:created>
  <dc:creator>openpyxl</dc:creator>
  <dc:description/>
  <dc:language>en-US</dc:language>
  <cp:lastModifiedBy/>
  <dcterms:modified xsi:type="dcterms:W3CDTF">2026-10-15T08:32:39Z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